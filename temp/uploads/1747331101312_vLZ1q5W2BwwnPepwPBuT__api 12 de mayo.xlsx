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20991D07-621B-4A88-A584-2E2837DDEE1F}" xr6:coauthVersionLast="47" xr6:coauthVersionMax="47" xr10:uidLastSave="{00000000-0000-0000-0000-000000000000}"/>
  <bookViews>
    <workbookView xWindow="-120" yWindow="-120" windowWidth="20730" windowHeight="11040" xr2:uid="{D2A2D33B-F5C1-4A73-B1F2-D1F68C528E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</calcChain>
</file>

<file path=xl/sharedStrings.xml><?xml version="1.0" encoding="utf-8"?>
<sst xmlns="http://schemas.openxmlformats.org/spreadsheetml/2006/main" count="123" uniqueCount="63">
  <si>
    <t>MELANY DEL CARMEN BELL GUILLERMO</t>
  </si>
  <si>
    <t>LLANO GRANDE</t>
  </si>
  <si>
    <t>YADIRA DEL CARMEN MONTENEGRO DE NAVARRO</t>
  </si>
  <si>
    <t>LOMAS SAN JOSE</t>
  </si>
  <si>
    <t>MARIA ELENA CASTILLO CARMARGO DE VARGAS</t>
  </si>
  <si>
    <t>PEDREGAL</t>
  </si>
  <si>
    <t>ALBIN ALBERTO GONZALEZ ROVIRA</t>
  </si>
  <si>
    <t>ARBOLEDA</t>
  </si>
  <si>
    <t>JENIA BROWN</t>
  </si>
  <si>
    <t>LLANO DEL MEDIO</t>
  </si>
  <si>
    <t>RAUL OSCAR MENDOZA CASTILLO</t>
  </si>
  <si>
    <t>RESD EL DORADO</t>
  </si>
  <si>
    <t>REBECA RODRIGUEZ MIRANDA</t>
  </si>
  <si>
    <t>YARIELA EDITH PIMENTEL</t>
  </si>
  <si>
    <t>RESD VISTA BELLA</t>
  </si>
  <si>
    <t>KEVIN AMETH MARTINEZ CERRUD</t>
  </si>
  <si>
    <t>HATO VIEJO</t>
  </si>
  <si>
    <t>JOSEPH YURIEL TEJEDOR VIGIL</t>
  </si>
  <si>
    <t>COSTA DEL SOL</t>
  </si>
  <si>
    <t>GABRIEL DE JESUS APARICIO BERNAL</t>
  </si>
  <si>
    <t>VILLA ESCONDIDA</t>
  </si>
  <si>
    <t>SONIA GONZALEZ ARAUZ</t>
  </si>
  <si>
    <t>MAHER AZZAM</t>
  </si>
  <si>
    <t>LA FONTANA</t>
  </si>
  <si>
    <t>MARYURIS ROSMERY CHAVEZ GONALEZ</t>
  </si>
  <si>
    <t>BDA 6 DE ENERO</t>
  </si>
  <si>
    <t>GRETH ALEXANDER ATENCIO</t>
  </si>
  <si>
    <t>ALTOS DE QUITEÑO</t>
  </si>
  <si>
    <t>HEAZEL NADESDYE PEREZ RODRIGUEZ</t>
  </si>
  <si>
    <t>CHIRIQUI</t>
  </si>
  <si>
    <t>LUIS ANGEL MENDEZ HAZLEWOOD</t>
  </si>
  <si>
    <t>DON BOSCO</t>
  </si>
  <si>
    <t>ERICK EFRAIN MUÑOZ CASTILLO</t>
  </si>
  <si>
    <t>GUACA</t>
  </si>
  <si>
    <t>ALANIS ITZEL SAMUDIO VILLARREAL</t>
  </si>
  <si>
    <t>DOMINGA PITTY SUIRA DE AYALA</t>
  </si>
  <si>
    <t>VILLA GALO</t>
  </si>
  <si>
    <t>ESTHER ABREGO ABREGO</t>
  </si>
  <si>
    <t>FREDELINDA CASTILLO CASTILLO</t>
  </si>
  <si>
    <t>LA VICTORIA</t>
  </si>
  <si>
    <t>MAIKOL SAUL GUILLEN GARCIA</t>
  </si>
  <si>
    <t>WILBER LARGA ESPADA CANO</t>
  </si>
  <si>
    <t>LIMNY LINETH LADERA SERRANO DE SILVA</t>
  </si>
  <si>
    <t>MONTILLA</t>
  </si>
  <si>
    <t>BENJAMIN MOJICA BATISTA</t>
  </si>
  <si>
    <t>LUISA POLANCO GOZALEZ</t>
  </si>
  <si>
    <t>LA SABANA</t>
  </si>
  <si>
    <t>LUCIANO GUTIERREZ MARTI</t>
  </si>
  <si>
    <t>ASBHY GINARA CABALLERO FUENTES</t>
  </si>
  <si>
    <t>BRISAS DEL MAR</t>
  </si>
  <si>
    <t>LISBETH NEREIDA LEZCANO VALENZUELA</t>
  </si>
  <si>
    <t>ANTHONY RENE GUERRA GONZALEZ</t>
  </si>
  <si>
    <t>LA FLORIDA</t>
  </si>
  <si>
    <t>FLORENCIA CUEVA BEJARANO</t>
  </si>
  <si>
    <t>BELLA COLINA</t>
  </si>
  <si>
    <t>RIGOBERTO SANJUR HERNANDE</t>
  </si>
  <si>
    <t>VILLA GARIBALDI</t>
  </si>
  <si>
    <t>ADELINA PEREZ VILLAMONTE DE</t>
  </si>
  <si>
    <t>REVOLUCION</t>
  </si>
  <si>
    <t>suscriptor</t>
  </si>
  <si>
    <t>clientes</t>
  </si>
  <si>
    <t>telefono</t>
  </si>
  <si>
    <t>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</si>
</sst>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ACAC-6C63-48ED-AF1B-C15E329C395B}">
  <dimension ref="A1:D61"/>
  <sheetViews>
    <sheetView tabSelected="1" workbookViewId="0">
      <selection activeCell="C5" sqref="C5"/>
    </sheetView>
  </sheetViews>
  <sheetFormatPr baseColWidth="10" defaultRowHeight="15" x14ac:dyDescent="0.25"/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tr">
        <f t="shared" ref="A2:A3" si="0">"87477391"</f>
        <v>87477391</v>
      </c>
      <c r="B2" s="1" t="s">
        <v>0</v>
      </c>
      <c r="C2" s="2">
        <v>66000336</v>
      </c>
      <c r="D2" s="2" t="s">
        <v>1</v>
      </c>
    </row>
    <row r="3" spans="1:4" x14ac:dyDescent="0.25">
      <c r="A3" t="str">
        <f t="shared" si="0"/>
        <v>87477391</v>
      </c>
      <c r="B3" s="1" t="s">
        <v>0</v>
      </c>
      <c r="C3" s="2">
        <v>68635640</v>
      </c>
      <c r="D3" s="2" t="s">
        <v>1</v>
      </c>
    </row>
    <row r="4" spans="1:4" x14ac:dyDescent="0.25">
      <c r="A4" t="str">
        <f t="shared" ref="A4:A5" si="1">"89175103"</f>
        <v>89175103</v>
      </c>
      <c r="B4" s="1" t="s">
        <v>2</v>
      </c>
      <c r="C4" s="2">
        <v>65638828</v>
      </c>
      <c r="D4" s="2" t="s">
        <v>3</v>
      </c>
    </row>
    <row r="5" spans="1:4" x14ac:dyDescent="0.25">
      <c r="A5" t="str">
        <f t="shared" si="1"/>
        <v>89175103</v>
      </c>
      <c r="B5" s="1" t="s">
        <v>2</v>
      </c>
      <c r="C5" s="2">
        <v>66786155</v>
      </c>
      <c r="D5" s="2" t="s">
        <v>3</v>
      </c>
    </row>
    <row r="6" spans="1:4" x14ac:dyDescent="0.25">
      <c r="A6" t="str">
        <f t="shared" ref="A6" si="2">"89397478"</f>
        <v>89397478</v>
      </c>
      <c r="B6" s="1" t="s">
        <v>4</v>
      </c>
      <c r="C6" s="2">
        <v>65056234</v>
      </c>
      <c r="D6" s="2" t="s">
        <v>5</v>
      </c>
    </row>
    <row r="7" spans="1:4" x14ac:dyDescent="0.25">
      <c r="A7" t="str">
        <f t="shared" ref="A7:A8" si="3">"90782925"</f>
        <v>90782925</v>
      </c>
      <c r="B7" s="1" t="s">
        <v>6</v>
      </c>
      <c r="C7" s="2">
        <v>68565010</v>
      </c>
      <c r="D7" s="2" t="s">
        <v>7</v>
      </c>
    </row>
    <row r="8" spans="1:4" x14ac:dyDescent="0.25">
      <c r="A8" t="str">
        <f t="shared" si="3"/>
        <v>90782925</v>
      </c>
      <c r="B8" s="1" t="s">
        <v>6</v>
      </c>
      <c r="C8" s="2">
        <v>68565076</v>
      </c>
      <c r="D8" s="2" t="s">
        <v>7</v>
      </c>
    </row>
    <row r="9" spans="1:4" x14ac:dyDescent="0.25">
      <c r="A9" t="str">
        <f t="shared" ref="A9:A10" si="4">"91155806"</f>
        <v>91155806</v>
      </c>
      <c r="B9" s="1" t="s">
        <v>8</v>
      </c>
      <c r="C9" s="2">
        <v>68664514</v>
      </c>
      <c r="D9" s="2" t="s">
        <v>9</v>
      </c>
    </row>
    <row r="10" spans="1:4" x14ac:dyDescent="0.25">
      <c r="A10" t="str">
        <f t="shared" si="4"/>
        <v>91155806</v>
      </c>
      <c r="B10" s="1" t="s">
        <v>8</v>
      </c>
      <c r="C10" s="2">
        <v>62999435</v>
      </c>
      <c r="D10" s="2" t="s">
        <v>9</v>
      </c>
    </row>
    <row r="11" spans="1:4" x14ac:dyDescent="0.25">
      <c r="A11" t="str">
        <f t="shared" ref="A11:A12" si="5">"92112915"</f>
        <v>92112915</v>
      </c>
      <c r="B11" s="1" t="s">
        <v>10</v>
      </c>
      <c r="C11" s="2">
        <v>68815847</v>
      </c>
      <c r="D11" s="2" t="s">
        <v>11</v>
      </c>
    </row>
    <row r="12" spans="1:4" x14ac:dyDescent="0.25">
      <c r="A12" t="str">
        <f t="shared" si="5"/>
        <v>92112915</v>
      </c>
      <c r="B12" s="1" t="s">
        <v>10</v>
      </c>
      <c r="C12" s="2">
        <v>64168465</v>
      </c>
      <c r="D12" s="2" t="s">
        <v>11</v>
      </c>
    </row>
    <row r="13" spans="1:4" x14ac:dyDescent="0.25">
      <c r="A13" t="str">
        <f t="shared" ref="A13:A14" si="6">"92127721"</f>
        <v>92127721</v>
      </c>
      <c r="B13" s="1" t="s">
        <v>12</v>
      </c>
      <c r="C13" s="2">
        <v>69250611</v>
      </c>
      <c r="D13" s="2" t="s">
        <v>3</v>
      </c>
    </row>
    <row r="14" spans="1:4" x14ac:dyDescent="0.25">
      <c r="A14" t="str">
        <f t="shared" si="6"/>
        <v>92127721</v>
      </c>
      <c r="B14" s="1" t="s">
        <v>12</v>
      </c>
      <c r="C14" s="2">
        <v>68251061</v>
      </c>
      <c r="D14" s="2" t="s">
        <v>3</v>
      </c>
    </row>
    <row r="15" spans="1:4" x14ac:dyDescent="0.25">
      <c r="A15" t="str">
        <f t="shared" ref="A15:A16" si="7">"92786033"</f>
        <v>92786033</v>
      </c>
      <c r="B15" s="1" t="s">
        <v>13</v>
      </c>
      <c r="C15" s="2">
        <v>68801124</v>
      </c>
      <c r="D15" s="2" t="s">
        <v>14</v>
      </c>
    </row>
    <row r="16" spans="1:4" x14ac:dyDescent="0.25">
      <c r="A16" t="str">
        <f t="shared" si="7"/>
        <v>92786033</v>
      </c>
      <c r="B16" s="1" t="s">
        <v>13</v>
      </c>
      <c r="C16" s="2">
        <v>63267172</v>
      </c>
      <c r="D16" s="2" t="s">
        <v>14</v>
      </c>
    </row>
    <row r="17" spans="1:4" x14ac:dyDescent="0.25">
      <c r="A17" t="str">
        <f>"93672677"</f>
        <v>93672677</v>
      </c>
      <c r="B17" s="1" t="s">
        <v>15</v>
      </c>
      <c r="C17" s="2">
        <v>68000150</v>
      </c>
      <c r="D17" s="2" t="s">
        <v>16</v>
      </c>
    </row>
    <row r="18" spans="1:4" x14ac:dyDescent="0.25">
      <c r="A18" t="str">
        <f>"93672677"</f>
        <v>93672677</v>
      </c>
      <c r="B18" s="1" t="s">
        <v>15</v>
      </c>
      <c r="C18" s="2">
        <v>69545425</v>
      </c>
      <c r="D18" s="2" t="s">
        <v>16</v>
      </c>
    </row>
    <row r="19" spans="1:4" x14ac:dyDescent="0.25">
      <c r="A19" t="str">
        <f t="shared" ref="A19:A21" si="8">"93822688"</f>
        <v>93822688</v>
      </c>
      <c r="B19" s="1" t="s">
        <v>17</v>
      </c>
      <c r="C19" s="2">
        <v>67066014</v>
      </c>
      <c r="D19" s="2" t="s">
        <v>18</v>
      </c>
    </row>
    <row r="20" spans="1:4" x14ac:dyDescent="0.25">
      <c r="A20" t="str">
        <f t="shared" si="8"/>
        <v>93822688</v>
      </c>
      <c r="B20" s="1" t="s">
        <v>17</v>
      </c>
      <c r="C20" s="2">
        <v>64871283</v>
      </c>
      <c r="D20" s="2" t="s">
        <v>18</v>
      </c>
    </row>
    <row r="21" spans="1:4" x14ac:dyDescent="0.25">
      <c r="A21" t="str">
        <f t="shared" si="8"/>
        <v>93822688</v>
      </c>
      <c r="B21" s="1" t="s">
        <v>17</v>
      </c>
      <c r="C21" s="2">
        <v>68864596</v>
      </c>
      <c r="D21" s="2" t="s">
        <v>18</v>
      </c>
    </row>
    <row r="22" spans="1:4" x14ac:dyDescent="0.25">
      <c r="A22" t="str">
        <f t="shared" ref="A22:A23" si="9">"94537280"</f>
        <v>94537280</v>
      </c>
      <c r="B22" s="1" t="s">
        <v>19</v>
      </c>
      <c r="C22" s="2">
        <v>64915568</v>
      </c>
      <c r="D22" s="2" t="s">
        <v>20</v>
      </c>
    </row>
    <row r="23" spans="1:4" x14ac:dyDescent="0.25">
      <c r="A23" t="str">
        <f t="shared" si="9"/>
        <v>94537280</v>
      </c>
      <c r="B23" s="1" t="s">
        <v>19</v>
      </c>
      <c r="C23" s="2">
        <v>64698791</v>
      </c>
      <c r="D23" s="2" t="s">
        <v>20</v>
      </c>
    </row>
    <row r="24" spans="1:4" x14ac:dyDescent="0.25">
      <c r="A24" t="str">
        <f t="shared" ref="A24:A25" si="10">"94548496"</f>
        <v>94548496</v>
      </c>
      <c r="B24" s="1" t="s">
        <v>21</v>
      </c>
      <c r="C24" s="2">
        <v>69009288</v>
      </c>
      <c r="D24" s="2" t="s">
        <v>20</v>
      </c>
    </row>
    <row r="25" spans="1:4" x14ac:dyDescent="0.25">
      <c r="A25" t="str">
        <f t="shared" si="10"/>
        <v>94548496</v>
      </c>
      <c r="B25" s="1" t="s">
        <v>21</v>
      </c>
      <c r="C25" s="2">
        <v>64419212</v>
      </c>
      <c r="D25" s="2" t="s">
        <v>20</v>
      </c>
    </row>
    <row r="26" spans="1:4" x14ac:dyDescent="0.25">
      <c r="A26" t="str">
        <f t="shared" ref="A26:A27" si="11">"94592267"</f>
        <v>94592267</v>
      </c>
      <c r="B26" s="1" t="s">
        <v>22</v>
      </c>
      <c r="C26" s="2">
        <v>66726602</v>
      </c>
      <c r="D26" s="2" t="s">
        <v>23</v>
      </c>
    </row>
    <row r="27" spans="1:4" x14ac:dyDescent="0.25">
      <c r="A27" t="str">
        <f t="shared" si="11"/>
        <v>94592267</v>
      </c>
      <c r="B27" s="1" t="s">
        <v>22</v>
      </c>
      <c r="C27" s="2">
        <v>63386372</v>
      </c>
      <c r="D27" s="2" t="s">
        <v>23</v>
      </c>
    </row>
    <row r="28" spans="1:4" x14ac:dyDescent="0.25">
      <c r="A28" t="str">
        <f t="shared" ref="A28:A29" si="12">"94887336"</f>
        <v>94887336</v>
      </c>
      <c r="B28" s="1" t="s">
        <v>24</v>
      </c>
      <c r="C28" s="2">
        <v>62218983</v>
      </c>
      <c r="D28" t="s">
        <v>25</v>
      </c>
    </row>
    <row r="29" spans="1:4" x14ac:dyDescent="0.25">
      <c r="A29" t="str">
        <f t="shared" si="12"/>
        <v>94887336</v>
      </c>
      <c r="B29" s="1" t="s">
        <v>24</v>
      </c>
      <c r="C29" s="2">
        <v>63094803</v>
      </c>
      <c r="D29" t="s">
        <v>25</v>
      </c>
    </row>
    <row r="30" spans="1:4" x14ac:dyDescent="0.25">
      <c r="A30" t="str">
        <f t="shared" ref="A30:A31" si="13">"95036016"</f>
        <v>95036016</v>
      </c>
      <c r="B30" s="1" t="s">
        <v>26</v>
      </c>
      <c r="C30" s="2">
        <v>67952202</v>
      </c>
      <c r="D30" t="s">
        <v>27</v>
      </c>
    </row>
    <row r="31" spans="1:4" x14ac:dyDescent="0.25">
      <c r="A31" t="str">
        <f t="shared" si="13"/>
        <v>95036016</v>
      </c>
      <c r="B31" s="1" t="s">
        <v>26</v>
      </c>
      <c r="C31" s="2">
        <v>65571592</v>
      </c>
      <c r="D31" t="s">
        <v>27</v>
      </c>
    </row>
    <row r="32" spans="1:4" x14ac:dyDescent="0.25">
      <c r="A32" t="str">
        <f t="shared" ref="A32:A33" si="14">"95560273"</f>
        <v>95560273</v>
      </c>
      <c r="B32" s="1" t="s">
        <v>28</v>
      </c>
      <c r="C32" s="2">
        <v>65807494</v>
      </c>
      <c r="D32" t="s">
        <v>29</v>
      </c>
    </row>
    <row r="33" spans="1:4" x14ac:dyDescent="0.25">
      <c r="A33" t="str">
        <f t="shared" si="14"/>
        <v>95560273</v>
      </c>
      <c r="B33" s="1" t="s">
        <v>28</v>
      </c>
      <c r="C33" s="2">
        <v>63540636</v>
      </c>
      <c r="D33" t="s">
        <v>29</v>
      </c>
    </row>
    <row r="34" spans="1:4" x14ac:dyDescent="0.25">
      <c r="A34" t="str">
        <f t="shared" ref="A34:A35" si="15">"95590679"</f>
        <v>95590679</v>
      </c>
      <c r="B34" s="1" t="s">
        <v>30</v>
      </c>
      <c r="C34" s="2">
        <v>63591545</v>
      </c>
      <c r="D34" t="s">
        <v>31</v>
      </c>
    </row>
    <row r="35" spans="1:4" x14ac:dyDescent="0.25">
      <c r="A35" t="str">
        <f t="shared" si="15"/>
        <v>95590679</v>
      </c>
      <c r="B35" s="1" t="s">
        <v>30</v>
      </c>
      <c r="C35" s="2">
        <v>62163978</v>
      </c>
      <c r="D35" t="s">
        <v>31</v>
      </c>
    </row>
    <row r="36" spans="1:4" x14ac:dyDescent="0.25">
      <c r="A36" t="str">
        <f t="shared" ref="A36:A37" si="16">"95685205"</f>
        <v>95685205</v>
      </c>
      <c r="B36" s="1" t="s">
        <v>32</v>
      </c>
      <c r="C36" s="2">
        <v>64991049</v>
      </c>
      <c r="D36" t="s">
        <v>33</v>
      </c>
    </row>
    <row r="37" spans="1:4" x14ac:dyDescent="0.25">
      <c r="A37" t="str">
        <f t="shared" si="16"/>
        <v>95685205</v>
      </c>
      <c r="B37" s="1" t="s">
        <v>32</v>
      </c>
      <c r="C37" s="2">
        <v>66235311</v>
      </c>
      <c r="D37" t="s">
        <v>33</v>
      </c>
    </row>
    <row r="38" spans="1:4" x14ac:dyDescent="0.25">
      <c r="A38" t="str">
        <f t="shared" ref="A38:A39" si="17">"95691701"</f>
        <v>95691701</v>
      </c>
      <c r="B38" s="1" t="s">
        <v>34</v>
      </c>
      <c r="C38" s="2">
        <v>65274004</v>
      </c>
      <c r="D38" t="s">
        <v>33</v>
      </c>
    </row>
    <row r="39" spans="1:4" x14ac:dyDescent="0.25">
      <c r="A39" t="str">
        <f t="shared" si="17"/>
        <v>95691701</v>
      </c>
      <c r="B39" s="1" t="s">
        <v>34</v>
      </c>
      <c r="C39" s="2">
        <v>62368244</v>
      </c>
      <c r="D39" t="s">
        <v>33</v>
      </c>
    </row>
    <row r="40" spans="1:4" x14ac:dyDescent="0.25">
      <c r="A40" t="str">
        <f t="shared" ref="A40:A41" si="18">"95789089"</f>
        <v>95789089</v>
      </c>
      <c r="B40" s="1" t="s">
        <v>35</v>
      </c>
      <c r="C40" s="2">
        <v>67942373</v>
      </c>
      <c r="D40" t="s">
        <v>36</v>
      </c>
    </row>
    <row r="41" spans="1:4" x14ac:dyDescent="0.25">
      <c r="A41" t="str">
        <f t="shared" si="18"/>
        <v>95789089</v>
      </c>
      <c r="B41" s="1" t="s">
        <v>35</v>
      </c>
      <c r="C41" s="2">
        <v>62900347</v>
      </c>
      <c r="D41" t="s">
        <v>36</v>
      </c>
    </row>
    <row r="42" spans="1:4" x14ac:dyDescent="0.25">
      <c r="A42" t="str">
        <f t="shared" ref="A42:A43" si="19">"95794165"</f>
        <v>95794165</v>
      </c>
      <c r="B42" s="1" t="s">
        <v>37</v>
      </c>
      <c r="C42" s="2">
        <v>68320140</v>
      </c>
      <c r="D42" t="s">
        <v>31</v>
      </c>
    </row>
    <row r="43" spans="1:4" x14ac:dyDescent="0.25">
      <c r="A43" t="str">
        <f t="shared" si="19"/>
        <v>95794165</v>
      </c>
      <c r="B43" s="1" t="s">
        <v>37</v>
      </c>
      <c r="C43" s="2">
        <v>64513237</v>
      </c>
      <c r="D43" t="s">
        <v>31</v>
      </c>
    </row>
    <row r="44" spans="1:4" x14ac:dyDescent="0.25">
      <c r="A44" t="str">
        <f t="shared" ref="A44:A45" si="20">"95842247"</f>
        <v>95842247</v>
      </c>
      <c r="B44" s="1" t="s">
        <v>38</v>
      </c>
      <c r="C44" s="2">
        <v>65764702</v>
      </c>
      <c r="D44" t="s">
        <v>39</v>
      </c>
    </row>
    <row r="45" spans="1:4" x14ac:dyDescent="0.25">
      <c r="A45" t="str">
        <f t="shared" si="20"/>
        <v>95842247</v>
      </c>
      <c r="B45" s="1" t="s">
        <v>38</v>
      </c>
      <c r="C45" s="2">
        <v>64296570</v>
      </c>
      <c r="D45" t="s">
        <v>39</v>
      </c>
    </row>
    <row r="46" spans="1:4" x14ac:dyDescent="0.25">
      <c r="A46" t="str">
        <f t="shared" ref="A46:A47" si="21">"95860490"</f>
        <v>95860490</v>
      </c>
      <c r="B46" s="1" t="s">
        <v>40</v>
      </c>
      <c r="C46" s="2">
        <v>68849025</v>
      </c>
      <c r="D46" t="s">
        <v>31</v>
      </c>
    </row>
    <row r="47" spans="1:4" x14ac:dyDescent="0.25">
      <c r="A47" t="str">
        <f t="shared" si="21"/>
        <v>95860490</v>
      </c>
      <c r="B47" s="1" t="s">
        <v>40</v>
      </c>
      <c r="C47" s="2">
        <v>66657823</v>
      </c>
      <c r="D47" t="s">
        <v>31</v>
      </c>
    </row>
    <row r="48" spans="1:4" x14ac:dyDescent="0.25">
      <c r="A48" t="str">
        <f t="shared" ref="A48:A49" si="22">"95863091"</f>
        <v>95863091</v>
      </c>
      <c r="B48" s="1" t="s">
        <v>41</v>
      </c>
      <c r="C48" s="2">
        <v>68966646</v>
      </c>
      <c r="D48" t="s">
        <v>33</v>
      </c>
    </row>
    <row r="49" spans="1:4" x14ac:dyDescent="0.25">
      <c r="A49" t="str">
        <f t="shared" si="22"/>
        <v>95863091</v>
      </c>
      <c r="B49" s="1" t="s">
        <v>41</v>
      </c>
      <c r="C49" s="2">
        <v>63206713</v>
      </c>
      <c r="D49" t="s">
        <v>33</v>
      </c>
    </row>
    <row r="50" spans="1:4" x14ac:dyDescent="0.25">
      <c r="A50" t="str">
        <f t="shared" ref="A50:A51" si="23">"95915930"</f>
        <v>95915930</v>
      </c>
      <c r="B50" s="1" t="s">
        <v>42</v>
      </c>
      <c r="C50" s="2">
        <v>63526519</v>
      </c>
      <c r="D50" t="s">
        <v>43</v>
      </c>
    </row>
    <row r="51" spans="1:4" x14ac:dyDescent="0.25">
      <c r="A51" t="str">
        <f t="shared" si="23"/>
        <v>95915930</v>
      </c>
      <c r="B51" s="1" t="s">
        <v>42</v>
      </c>
      <c r="C51" s="2">
        <v>68765080</v>
      </c>
      <c r="D51" t="s">
        <v>43</v>
      </c>
    </row>
    <row r="52" spans="1:4" x14ac:dyDescent="0.25">
      <c r="A52" t="str">
        <f t="shared" ref="A52:A53" si="24">"96003071"</f>
        <v>96003071</v>
      </c>
      <c r="B52" s="1" t="s">
        <v>44</v>
      </c>
      <c r="C52" s="2">
        <v>66874488</v>
      </c>
      <c r="D52" t="s">
        <v>39</v>
      </c>
    </row>
    <row r="53" spans="1:4" x14ac:dyDescent="0.25">
      <c r="A53" t="str">
        <f t="shared" si="24"/>
        <v>96003071</v>
      </c>
      <c r="B53" s="1" t="s">
        <v>44</v>
      </c>
      <c r="C53" s="2">
        <v>60000000</v>
      </c>
      <c r="D53" t="s">
        <v>39</v>
      </c>
    </row>
    <row r="54" spans="1:4" x14ac:dyDescent="0.25">
      <c r="A54" t="str">
        <f>"348229020000"</f>
        <v>348229020000</v>
      </c>
      <c r="B54" s="1" t="s">
        <v>45</v>
      </c>
      <c r="C54" s="2">
        <v>64603457</v>
      </c>
      <c r="D54" s="2" t="s">
        <v>46</v>
      </c>
    </row>
    <row r="55" spans="1:4" x14ac:dyDescent="0.25">
      <c r="A55" t="str">
        <f>"349248680000"</f>
        <v>349248680000</v>
      </c>
      <c r="B55" s="1" t="s">
        <v>47</v>
      </c>
      <c r="C55" s="2">
        <v>68999454</v>
      </c>
      <c r="D55" s="3">
        <v>46007</v>
      </c>
    </row>
    <row r="56" spans="1:4" x14ac:dyDescent="0.25">
      <c r="A56" t="str">
        <f>"344266450000"</f>
        <v>344266450000</v>
      </c>
      <c r="B56" s="1" t="s">
        <v>48</v>
      </c>
      <c r="C56" s="2">
        <v>67484905</v>
      </c>
      <c r="D56" s="2" t="s">
        <v>49</v>
      </c>
    </row>
    <row r="57" spans="1:4" x14ac:dyDescent="0.25">
      <c r="A57" t="str">
        <f>"347336810000"</f>
        <v>347336810000</v>
      </c>
      <c r="B57" s="1" t="s">
        <v>50</v>
      </c>
      <c r="C57" s="2">
        <v>69538621</v>
      </c>
      <c r="D57" s="2" t="s">
        <v>5</v>
      </c>
    </row>
    <row r="58" spans="1:4" x14ac:dyDescent="0.25">
      <c r="A58" t="str">
        <f>"349321350000"</f>
        <v>349321350000</v>
      </c>
      <c r="B58" s="1" t="s">
        <v>51</v>
      </c>
      <c r="C58" s="2">
        <v>65276304</v>
      </c>
      <c r="D58" s="2" t="s">
        <v>52</v>
      </c>
    </row>
    <row r="59" spans="1:4" x14ac:dyDescent="0.25">
      <c r="A59" t="str">
        <f>"343353820000"</f>
        <v>343353820000</v>
      </c>
      <c r="B59" s="1" t="s">
        <v>53</v>
      </c>
      <c r="C59" s="2">
        <v>65334492</v>
      </c>
      <c r="D59" s="2" t="s">
        <v>54</v>
      </c>
    </row>
    <row r="60" spans="1:4" x14ac:dyDescent="0.25">
      <c r="A60" t="str">
        <f>"344345940000"</f>
        <v>344345940000</v>
      </c>
      <c r="B60" s="1" t="s">
        <v>55</v>
      </c>
      <c r="C60" s="2">
        <v>68233438</v>
      </c>
      <c r="D60" s="2" t="s">
        <v>56</v>
      </c>
    </row>
    <row r="61" spans="1:4" x14ac:dyDescent="0.25">
      <c r="A61" t="str">
        <f>"345350620000"</f>
        <v>345350620000</v>
      </c>
      <c r="B61" s="1" t="s">
        <v>57</v>
      </c>
      <c r="C61" s="2">
        <v>65049766</v>
      </c>
      <c r="D61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Evolution Dish</dc:creator>
  <cp:lastModifiedBy>Evolution Dish</cp:lastModifiedBy>
  <dcterms:created xsi:type="dcterms:W3CDTF">2025-05-12T15:06:00Z</dcterms:created>
  <dcterms:modified xsi:type="dcterms:W3CDTF">2025-05-12T15:06:59Z</dcterms:modified>
</cp:coreProperties>
</file>